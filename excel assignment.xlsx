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esktop\Assignments\"/>
    </mc:Choice>
  </mc:AlternateContent>
  <xr:revisionPtr revIDLastSave="0" documentId="8_{7BEB0663-382F-426F-9C36-A0DE9A85AB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1" l="1"/>
  <c r="I21" i="1"/>
  <c r="I20" i="1"/>
  <c r="J19" i="1"/>
  <c r="I19" i="1"/>
  <c r="J18" i="1"/>
  <c r="I18" i="1"/>
  <c r="J17" i="1"/>
  <c r="I17" i="1"/>
  <c r="P5" i="1"/>
  <c r="P6" i="1"/>
  <c r="P7" i="1"/>
  <c r="P8" i="1"/>
  <c r="P4" i="1"/>
  <c r="N16" i="1"/>
  <c r="J16" i="1"/>
  <c r="I16" i="1"/>
  <c r="O17" i="1"/>
  <c r="O18" i="1"/>
  <c r="O19" i="1"/>
  <c r="O20" i="1"/>
  <c r="N17" i="1"/>
  <c r="N18" i="1"/>
  <c r="N19" i="1"/>
  <c r="N20" i="1"/>
  <c r="O16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T18" i="1" l="1"/>
  <c r="U18" i="1"/>
  <c r="S18" i="1"/>
  <c r="K6" i="1"/>
  <c r="J6" i="1"/>
  <c r="I6" i="1"/>
  <c r="T21" i="1"/>
  <c r="U21" i="1"/>
  <c r="S21" i="1"/>
  <c r="K9" i="1"/>
  <c r="J9" i="1"/>
  <c r="I9" i="1"/>
  <c r="T17" i="1"/>
  <c r="U17" i="1"/>
  <c r="S17" i="1"/>
  <c r="K5" i="1"/>
  <c r="J5" i="1"/>
  <c r="I5" i="1"/>
  <c r="T19" i="1"/>
  <c r="U19" i="1"/>
  <c r="S19" i="1"/>
  <c r="K7" i="1"/>
  <c r="J7" i="1"/>
  <c r="I7" i="1"/>
  <c r="T20" i="1"/>
  <c r="U20" i="1"/>
  <c r="S20" i="1"/>
  <c r="K8" i="1"/>
  <c r="J8" i="1"/>
  <c r="I8" i="1"/>
</calcChain>
</file>

<file path=xl/sharedStrings.xml><?xml version="1.0" encoding="utf-8"?>
<sst xmlns="http://schemas.openxmlformats.org/spreadsheetml/2006/main" count="73" uniqueCount="27">
  <si>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</si>
  <si>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</si>
  <si>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</si>
  <si>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</si>
  <si>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</si>
  <si>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</si>
  <si>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</si>
  <si>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</si>
  <si>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</si>
  <si>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</si>
  <si>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</si>
  <si>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</si>
  <si>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</si>
  <si>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</si>
  <si>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</si>
  <si>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</si>
  <si>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</si>
  <si>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</si>
  <si>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</si>
  <si>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</si>
  <si>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</si>
  <si>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</si>
  <si>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</si>
  <si>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</si>
  <si>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</si>
  <si>
    <t>Values &gt; 15000 Green (High Value)</t>
  </si>
  <si>
    <t>Values &lt; 6000 Red (Low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</si>
</sst>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4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16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7" xfId="0" applyBorder="1"/>
    <xf numFmtId="164" fontId="1" fillId="0" borderId="5" xfId="1" applyFont="1" applyFill="1" applyBorder="1" applyAlignment="1"/>
    <xf numFmtId="0" fontId="0" fillId="0" borderId="18" xfId="0" applyBorder="1"/>
    <xf numFmtId="0" fontId="3" fillId="4" borderId="0" xfId="0" applyFont="1" applyFill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</cellXfs>
  <cellStyles count="2">
    <cellStyle name="Comma" xfId="1" builtinId="3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topLeftCell="A8" workbookViewId="0">
      <selection activeCell="I27" sqref="I27"/>
    </sheetView>
  </sheetViews>
  <sheetFormatPr defaultRowHeight="15" x14ac:dyDescent="0.25"/>
  <cols>
    <col min="2" max="2" width="9.140625" bestFit="1" customWidth="1"/>
    <col min="9" max="11" width="10.5703125" bestFit="1" customWidth="1"/>
    <col min="15" max="15" width="10.42578125" customWidth="1"/>
  </cols>
  <sheetData>
    <row r="1" spans="1:21" ht="25.5" x14ac:dyDescent="0.35">
      <c r="A1" s="34" t="s">
        <v>0</v>
      </c>
      <c r="B1" s="34"/>
      <c r="C1" s="34"/>
      <c r="D1" s="34"/>
      <c r="E1" s="34"/>
      <c r="F1" s="34"/>
    </row>
    <row r="2" spans="1:21" ht="19.5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1" ht="15.75" thickBot="1" x14ac:dyDescent="0.3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I3" s="31" t="s">
        <v>24</v>
      </c>
      <c r="J3" s="32"/>
      <c r="K3" s="33"/>
      <c r="N3" s="7"/>
      <c r="O3" s="8" t="s">
        <v>9</v>
      </c>
      <c r="P3" s="9" t="s">
        <v>10</v>
      </c>
      <c r="S3" s="27"/>
    </row>
    <row r="4" spans="1:21" x14ac:dyDescent="0.25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6"/>
      <c r="H4" s="20" t="s">
        <v>4</v>
      </c>
      <c r="I4" s="21">
        <v>2010</v>
      </c>
      <c r="J4" s="22">
        <v>2011</v>
      </c>
      <c r="K4" s="23">
        <v>2012</v>
      </c>
      <c r="N4" s="28" t="s">
        <v>12</v>
      </c>
      <c r="O4" s="13" t="s">
        <v>13</v>
      </c>
      <c r="P4" s="14">
        <f>COUNTIF(D2:D26,O4)</f>
        <v>6</v>
      </c>
      <c r="Q4" s="14"/>
    </row>
    <row r="5" spans="1:21" x14ac:dyDescent="0.25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24" t="s">
        <v>13</v>
      </c>
      <c r="I5" s="25">
        <f>SUMIFS($F$2:$F$26,$D$2:$D$26,$H5,$C$2:$C$26,2010)</f>
        <v>12320</v>
      </c>
      <c r="J5" s="25">
        <f>SUMIFS($F$2:$F$26,$D$2:$D$26,$H5,$C$2:$C$26,2011)</f>
        <v>23100</v>
      </c>
      <c r="K5" s="25">
        <f>SUMIFS($F$2:$F$26,$D$2:$D$26,$H5,$C$2:$C$26,2012)</f>
        <v>25520</v>
      </c>
      <c r="N5" s="29"/>
      <c r="O5" s="13" t="s">
        <v>7</v>
      </c>
      <c r="P5" s="14">
        <f t="shared" ref="P5:P8" si="1">COUNTIF(D3:D27,O5)</f>
        <v>3</v>
      </c>
    </row>
    <row r="6" spans="1:21" x14ac:dyDescent="0.2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24" t="s">
        <v>7</v>
      </c>
      <c r="I6" s="25">
        <f t="shared" ref="I6:I9" si="2">SUMIFS($F$2:$F$26,$D$2:$D$26,$H6,$C$2:$C$26,2010)</f>
        <v>16720</v>
      </c>
      <c r="J6" s="25">
        <f>SUMIFS($F$2:$F$26,$D$2:$D$26,$H6,$C$2:$C$26,2011)</f>
        <v>6160</v>
      </c>
      <c r="K6" s="25">
        <f>SUMIFS($F$2:$F$26,$D$2:$D$26,$H6,$C$2:$C$26,2012)</f>
        <v>7920</v>
      </c>
      <c r="N6" s="29"/>
      <c r="O6" s="13" t="s">
        <v>15</v>
      </c>
      <c r="P6" s="14">
        <f t="shared" si="1"/>
        <v>5</v>
      </c>
    </row>
    <row r="7" spans="1:21" x14ac:dyDescent="0.25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24" t="s">
        <v>15</v>
      </c>
      <c r="I7" s="25">
        <f t="shared" si="2"/>
        <v>26840</v>
      </c>
      <c r="J7" s="25">
        <f>SUMIFS($F$2:$F$26,$D$2:$D$26,$H7,$C$2:$C$26,2011)</f>
        <v>0</v>
      </c>
      <c r="K7" s="25">
        <f>SUMIFS($F$2:$F$26,$D$2:$D$26,$H7,$C$2:$C$26,2012)</f>
        <v>15840</v>
      </c>
      <c r="N7" s="29"/>
      <c r="O7" s="13" t="s">
        <v>18</v>
      </c>
      <c r="P7" s="14">
        <f>COUNTIF(D5:D28,O7)</f>
        <v>3</v>
      </c>
    </row>
    <row r="8" spans="1:21" ht="15.75" thickBot="1" x14ac:dyDescent="0.3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24" t="s">
        <v>18</v>
      </c>
      <c r="I8" s="25">
        <f t="shared" si="2"/>
        <v>19800</v>
      </c>
      <c r="J8" s="25">
        <f>SUMIFS($F$2:$F$26,$D$2:$D$26,$H8,$C$2:$C$26,2011)</f>
        <v>20900</v>
      </c>
      <c r="K8" s="25">
        <f>SUMIFS($F$2:$F$26,$D$2:$D$26,$H8,$C$2:$C$26,2012)</f>
        <v>11440</v>
      </c>
      <c r="N8" s="30"/>
      <c r="O8" s="17" t="s">
        <v>11</v>
      </c>
      <c r="P8" s="14">
        <f>COUNTIF(D6:D30,O8)</f>
        <v>6</v>
      </c>
    </row>
    <row r="9" spans="1:21" ht="15.75" thickBot="1" x14ac:dyDescent="0.3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26" t="s">
        <v>11</v>
      </c>
      <c r="I9" s="25">
        <f t="shared" si="2"/>
        <v>29040</v>
      </c>
      <c r="J9" s="25">
        <f>SUMIFS($F$2:$F$26,$D$2:$D$26,$H9,$C$2:$C$26,2011)</f>
        <v>33440</v>
      </c>
      <c r="K9" s="25">
        <f>SUMIFS($F$2:$F$26,$D$2:$D$26,$H9,$C$2:$C$26,2012)</f>
        <v>20240</v>
      </c>
    </row>
    <row r="10" spans="1:21" x14ac:dyDescent="0.25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</row>
    <row r="11" spans="1:21" x14ac:dyDescent="0.25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1" x14ac:dyDescent="0.25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21" ht="15.75" thickBot="1" x14ac:dyDescent="0.3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1" ht="15.75" thickBot="1" x14ac:dyDescent="0.3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35" t="s">
        <v>8</v>
      </c>
      <c r="I14" s="36"/>
      <c r="J14" s="37"/>
    </row>
    <row r="15" spans="1:21" ht="15.75" thickBot="1" x14ac:dyDescent="0.3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0"/>
      <c r="I15" s="11" t="s">
        <v>10</v>
      </c>
      <c r="J15" s="12" t="s">
        <v>6</v>
      </c>
      <c r="L15" s="7"/>
      <c r="M15" s="8" t="s">
        <v>9</v>
      </c>
      <c r="N15" s="8" t="s">
        <v>10</v>
      </c>
      <c r="O15" s="9" t="s">
        <v>6</v>
      </c>
      <c r="S15" s="31" t="s">
        <v>22</v>
      </c>
      <c r="T15" s="32"/>
      <c r="U15" s="33"/>
    </row>
    <row r="16" spans="1:21" x14ac:dyDescent="0.2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5" t="s">
        <v>14</v>
      </c>
      <c r="I16" s="13">
        <f>SUM(E3:E26)</f>
        <v>1224</v>
      </c>
      <c r="J16" s="16">
        <f>SUM(F3:F26)</f>
        <v>269280</v>
      </c>
      <c r="L16" s="28" t="s">
        <v>23</v>
      </c>
      <c r="M16" s="13" t="s">
        <v>13</v>
      </c>
      <c r="N16" s="13">
        <f>SUMIF($D$2:D26,$M16,$E$2:$E$26)</f>
        <v>277</v>
      </c>
      <c r="O16" s="13">
        <f>SUMIF($D$2:$D$26,$M16,$F$2:$F$26)</f>
        <v>60940</v>
      </c>
      <c r="R16" s="20" t="s">
        <v>4</v>
      </c>
      <c r="S16" s="21">
        <v>2010</v>
      </c>
      <c r="T16" s="22">
        <v>2011</v>
      </c>
      <c r="U16" s="23">
        <v>2012</v>
      </c>
    </row>
    <row r="17" spans="1:21" x14ac:dyDescent="0.25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5" t="s">
        <v>16</v>
      </c>
      <c r="I17" s="13">
        <f>MIN(E3:E26)</f>
        <v>24</v>
      </c>
      <c r="J17" s="16">
        <f>MIN(F3:F26)</f>
        <v>5280</v>
      </c>
      <c r="L17" s="29"/>
      <c r="M17" s="13" t="s">
        <v>7</v>
      </c>
      <c r="N17" s="13">
        <f ca="1">SUMIF($D$2:D27,$M17,$E$2:$E$26)</f>
        <v>140</v>
      </c>
      <c r="O17" s="13">
        <f t="shared" ref="O17:O20" si="3">SUMIF($D$2:$D$26,$M17,$F$2:$F$26)</f>
        <v>30800</v>
      </c>
      <c r="R17" s="24" t="s">
        <v>13</v>
      </c>
      <c r="S17" s="25">
        <f>SUMIFS($E$2:$E$26,$D$2:$D$26,$R17,$C$2:$C$26,S$16)</f>
        <v>56</v>
      </c>
      <c r="T17" s="25">
        <f t="shared" ref="T17:U17" si="4">SUMIFS($E$2:$E$26,$D$2:$D$26,$R17,$C$2:$C$26,T$16)</f>
        <v>105</v>
      </c>
      <c r="U17" s="25">
        <f t="shared" si="4"/>
        <v>116</v>
      </c>
    </row>
    <row r="18" spans="1:21" x14ac:dyDescent="0.25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5" t="s">
        <v>17</v>
      </c>
      <c r="I18" s="13">
        <f>MAX(E3:E26)</f>
        <v>95</v>
      </c>
      <c r="J18" s="16">
        <f>MAX(F3:F26)</f>
        <v>20900</v>
      </c>
      <c r="L18" s="29"/>
      <c r="M18" s="13" t="s">
        <v>15</v>
      </c>
      <c r="N18" s="13">
        <f ca="1">SUMIF($D$2:D28,$M18,$E$2:$E$26)</f>
        <v>194</v>
      </c>
      <c r="O18" s="13">
        <f t="shared" si="3"/>
        <v>42680</v>
      </c>
      <c r="R18" s="24" t="s">
        <v>7</v>
      </c>
      <c r="S18" s="25">
        <f t="shared" ref="S18:U21" si="5">SUMIFS($E$2:$E$26,$D$2:$D$26,$R18,$C$2:$C$26,S$16)</f>
        <v>76</v>
      </c>
      <c r="T18" s="25">
        <f t="shared" si="5"/>
        <v>28</v>
      </c>
      <c r="U18" s="25">
        <f t="shared" si="5"/>
        <v>36</v>
      </c>
    </row>
    <row r="19" spans="1:21" x14ac:dyDescent="0.25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5" t="s">
        <v>19</v>
      </c>
      <c r="I19" s="13">
        <f>AVERAGE(E3:E26)</f>
        <v>51</v>
      </c>
      <c r="J19" s="16">
        <f>AVERAGE(F3:F26)</f>
        <v>11220</v>
      </c>
      <c r="L19" s="29"/>
      <c r="M19" s="13" t="s">
        <v>18</v>
      </c>
      <c r="N19" s="13">
        <f ca="1">SUMIF($D$2:D28,$M19,$E$2:$E$26)</f>
        <v>237</v>
      </c>
      <c r="O19" s="13">
        <f t="shared" si="3"/>
        <v>52140</v>
      </c>
      <c r="R19" s="24" t="s">
        <v>15</v>
      </c>
      <c r="S19" s="25">
        <f t="shared" si="5"/>
        <v>122</v>
      </c>
      <c r="T19" s="25">
        <f t="shared" si="5"/>
        <v>0</v>
      </c>
      <c r="U19" s="25">
        <f t="shared" si="5"/>
        <v>72</v>
      </c>
    </row>
    <row r="20" spans="1:21" ht="15.75" thickBot="1" x14ac:dyDescent="0.3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5" t="s">
        <v>20</v>
      </c>
      <c r="I20" s="13">
        <f>COUNT(E3:E26)</f>
        <v>24</v>
      </c>
      <c r="J20" s="14">
        <v>24</v>
      </c>
      <c r="L20" s="30"/>
      <c r="M20" s="17" t="s">
        <v>11</v>
      </c>
      <c r="N20" s="13">
        <f ca="1">SUMIF($D$2:D30,$M20,$E$2:$E$26)</f>
        <v>376</v>
      </c>
      <c r="O20" s="13">
        <f t="shared" si="3"/>
        <v>82720</v>
      </c>
      <c r="R20" s="24" t="s">
        <v>18</v>
      </c>
      <c r="S20" s="25">
        <f t="shared" si="5"/>
        <v>90</v>
      </c>
      <c r="T20" s="25">
        <f t="shared" si="5"/>
        <v>95</v>
      </c>
      <c r="U20" s="25">
        <f t="shared" si="5"/>
        <v>52</v>
      </c>
    </row>
    <row r="21" spans="1:21" ht="15.75" thickBot="1" x14ac:dyDescent="0.3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18" t="s">
        <v>21</v>
      </c>
      <c r="I21" s="13">
        <f>COUNTA(E3:E26)</f>
        <v>24</v>
      </c>
      <c r="J21" s="19">
        <f>COUNTA(F3:F26)</f>
        <v>24</v>
      </c>
      <c r="R21" s="26" t="s">
        <v>11</v>
      </c>
      <c r="S21" s="25">
        <f t="shared" si="5"/>
        <v>132</v>
      </c>
      <c r="T21" s="25">
        <f t="shared" si="5"/>
        <v>152</v>
      </c>
      <c r="U21" s="25">
        <f t="shared" si="5"/>
        <v>92</v>
      </c>
    </row>
    <row r="22" spans="1:21" x14ac:dyDescent="0.25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21" x14ac:dyDescent="0.25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21" x14ac:dyDescent="0.25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21" x14ac:dyDescent="0.2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21" x14ac:dyDescent="0.25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  <row r="29" spans="1:21" x14ac:dyDescent="0.25">
      <c r="B29" s="38" t="s">
        <v>25</v>
      </c>
    </row>
    <row r="30" spans="1:21" x14ac:dyDescent="0.25">
      <c r="B30" s="38" t="s">
        <v>26</v>
      </c>
    </row>
  </sheetData>
  <mergeCells count="6">
    <mergeCell ref="S15:U15"/>
    <mergeCell ref="L16:L20"/>
    <mergeCell ref="I3:K3"/>
    <mergeCell ref="A1:F1"/>
    <mergeCell ref="H14:J14"/>
    <mergeCell ref="N4:N8"/>
  </mergeCells>
  <conditionalFormatting sqref="F3:F26">
    <cfRule type="cellIs" dxfId="0" priority="2" operator="greaterThan">
      <formula>15000</formula>
    </cfRule>
    <cfRule type="cellIs" dxfId="1" priority="1" operator="lessThan">
      <formula>6000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Toshiba</cp:lastModifiedBy>
  <dcterms:created xsi:type="dcterms:W3CDTF">2024-05-08T21:08:42Z</dcterms:created>
  <dcterms:modified xsi:type="dcterms:W3CDTF">2026-05-03T07:11:46Z</dcterms:modified>
</cp:coreProperties>
</file>